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EMPC\Desktop\furniture_bot\"/>
    </mc:Choice>
  </mc:AlternateContent>
  <xr:revisionPtr revIDLastSave="0" documentId="13_ncr:1_{A58B55AD-E39C-4F85-83DC-34BA11E1574E}" xr6:coauthVersionLast="47" xr6:coauthVersionMax="47" xr10:uidLastSave="{00000000-0000-0000-0000-000000000000}"/>
  <bookViews>
    <workbookView xWindow="52695" yWindow="0" windowWidth="14610" windowHeight="15585" xr2:uid="{00000000-000D-0000-FFFF-FFFF00000000}"/>
  </bookViews>
  <sheets>
    <sheet name="매직 견적서" sheetId="5" r:id="rId1"/>
  </sheets>
  <definedNames>
    <definedName name="_xlnm.Print_Area" localSheetId="0">'매직 견적서'!$B$2:$Q$26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L13" i="5"/>
  <c r="O15" i="5" l="1"/>
  <c r="P15" i="5" s="1"/>
  <c r="Q15" i="5" s="1"/>
  <c r="S15" i="5"/>
  <c r="P16" i="5" l="1"/>
  <c r="Q16" i="5" s="1"/>
  <c r="P17" i="5" l="1"/>
  <c r="P18" i="5"/>
  <c r="P20" i="5" l="1"/>
</calcChain>
</file>

<file path=xl/sharedStrings.xml><?xml version="1.0" encoding="utf-8"?>
<sst xmlns="http://schemas.openxmlformats.org/spreadsheetml/2006/main" count="57" uniqueCount="57">
  <si>
    <t>공
급
자</t>
    <phoneticPr fontId="3" type="noConversion"/>
  </si>
  <si>
    <t>사업장주소</t>
    <phoneticPr fontId="3" type="noConversion"/>
  </si>
  <si>
    <t>F A X.</t>
    <phoneticPr fontId="3" type="noConversion"/>
  </si>
  <si>
    <t>납  품  일</t>
    <phoneticPr fontId="2" type="noConversion"/>
  </si>
  <si>
    <t>단가</t>
    <phoneticPr fontId="2" type="noConversion"/>
  </si>
  <si>
    <t>공 급 가</t>
    <phoneticPr fontId="2" type="noConversion"/>
  </si>
  <si>
    <t>판
매
약
관</t>
    <phoneticPr fontId="2" type="noConversion"/>
  </si>
  <si>
    <t xml:space="preserve">  상품가액의 10%를, 해약시엔 계약금 전부를 위약금으로 지불하셔야 합니다.</t>
    <phoneticPr fontId="2" type="noConversion"/>
  </si>
  <si>
    <t xml:space="preserve">   손창석</t>
    <phoneticPr fontId="2" type="noConversion"/>
  </si>
  <si>
    <t>사업자번호</t>
    <phoneticPr fontId="3" type="noConversion"/>
  </si>
  <si>
    <t>상  호  명</t>
    <phoneticPr fontId="3" type="noConversion"/>
  </si>
  <si>
    <t>업       태</t>
    <phoneticPr fontId="3" type="noConversion"/>
  </si>
  <si>
    <t>142-81-73316</t>
    <phoneticPr fontId="2" type="noConversion"/>
  </si>
  <si>
    <t>총      액</t>
    <phoneticPr fontId="2" type="noConversion"/>
  </si>
  <si>
    <t xml:space="preserve">견 적 서 </t>
    <phoneticPr fontId="2" type="noConversion"/>
  </si>
  <si>
    <t>견  적  일</t>
    <phoneticPr fontId="2" type="noConversion"/>
  </si>
  <si>
    <t>㈜엠퍼니처</t>
    <phoneticPr fontId="2" type="noConversion"/>
  </si>
  <si>
    <t>성   명</t>
    <phoneticPr fontId="2" type="noConversion"/>
  </si>
  <si>
    <t>업  체  명</t>
    <phoneticPr fontId="2" type="noConversion"/>
  </si>
  <si>
    <t>경기도 용인시 기흥구 중부대로819번길 14(상하동)</t>
    <phoneticPr fontId="2" type="noConversion"/>
  </si>
  <si>
    <t>담  당  자</t>
    <phoneticPr fontId="2" type="noConversion"/>
  </si>
  <si>
    <t>도소매</t>
    <phoneticPr fontId="2" type="noConversion"/>
  </si>
  <si>
    <t>종   목</t>
    <phoneticPr fontId="2" type="noConversion"/>
  </si>
  <si>
    <t>가구</t>
    <phoneticPr fontId="2" type="noConversion"/>
  </si>
  <si>
    <t>이  메  일</t>
    <phoneticPr fontId="2" type="noConversion"/>
  </si>
  <si>
    <t>T E L</t>
    <phoneticPr fontId="3" type="noConversion"/>
  </si>
  <si>
    <t>031-893-7263</t>
    <phoneticPr fontId="2" type="noConversion"/>
  </si>
  <si>
    <t>031-629-7261</t>
    <phoneticPr fontId="2" type="noConversion"/>
  </si>
  <si>
    <t>납품 주소</t>
    <phoneticPr fontId="2" type="noConversion"/>
  </si>
  <si>
    <t>담당자</t>
    <phoneticPr fontId="3" type="noConversion"/>
  </si>
  <si>
    <t>아래와 같이 견적합니다.</t>
    <phoneticPr fontId="2" type="noConversion"/>
  </si>
  <si>
    <t>이메일</t>
    <phoneticPr fontId="3" type="noConversion"/>
  </si>
  <si>
    <t>magicfn@magicfn.com</t>
    <phoneticPr fontId="2" type="noConversion"/>
  </si>
  <si>
    <t>홈페이지</t>
    <phoneticPr fontId="3" type="noConversion"/>
  </si>
  <si>
    <t>계좌번호</t>
    <phoneticPr fontId="2" type="noConversion"/>
  </si>
  <si>
    <t>합 계 금 액
(공급가+부가세)</t>
    <phoneticPr fontId="2" type="noConversion"/>
  </si>
  <si>
    <t>제 품 명</t>
    <phoneticPr fontId="2" type="noConversion"/>
  </si>
  <si>
    <t>이 미 지</t>
    <phoneticPr fontId="2" type="noConversion"/>
  </si>
  <si>
    <t>규    격</t>
    <phoneticPr fontId="2" type="noConversion"/>
  </si>
  <si>
    <t>수 량</t>
    <phoneticPr fontId="2" type="noConversion"/>
  </si>
  <si>
    <t>할인가 0%</t>
    <phoneticPr fontId="2" type="noConversion"/>
  </si>
  <si>
    <t>공급가액</t>
    <phoneticPr fontId="2" type="noConversion"/>
  </si>
  <si>
    <t>세  액</t>
    <phoneticPr fontId="2" type="noConversion"/>
  </si>
  <si>
    <t>비
고</t>
    <phoneticPr fontId="2" type="noConversion"/>
  </si>
  <si>
    <t>세     액</t>
    <phoneticPr fontId="2" type="noConversion"/>
  </si>
  <si>
    <t>단위 절삭</t>
    <phoneticPr fontId="2" type="noConversion"/>
  </si>
  <si>
    <t xml:space="preserve">－주문제작 상품인 경우 특성상 교환 및 반품/환불이 제한되며 수입 상품인 경우 소비자 단순 변심으로 인한 교환은 </t>
    <phoneticPr fontId="2" type="noConversion"/>
  </si>
  <si>
    <t>－납품 기일, 제품의 수량,종류,색상의 변경시는 상호간의 합의하에만 가능합니다.</t>
    <phoneticPr fontId="2" type="noConversion"/>
  </si>
  <si>
    <t>－수입품은 일시 품절 될 수 있으며, 주문제작 제품은 자재의 수급부족이나 공장 일정상 늦어질 수 있습니다.</t>
    <phoneticPr fontId="2" type="noConversion"/>
  </si>
  <si>
    <t>－상기 견적 사항의 유효기간은 견적일로부터 30일간 이며 본 명세서의 물품대금 전액이 입금되기 전 까지는 물품 소유권이</t>
    <phoneticPr fontId="2" type="noConversion"/>
  </si>
  <si>
    <t xml:space="preserve">   '㈜엠퍼니처'에 있고 대금이 완불되지 않아 물건을 회수해도 영업방해등 어떠한 민,형사상의 책임을 물을수 없습니다.</t>
    <phoneticPr fontId="2" type="noConversion"/>
  </si>
  <si>
    <t>매직퍼니처 www.magicfn.com</t>
    <phoneticPr fontId="2" type="noConversion"/>
  </si>
  <si>
    <t>[기업은행] 057-098201-04-015 ㈜엠퍼니처</t>
    <phoneticPr fontId="2" type="noConversion"/>
  </si>
  <si>
    <t>비   고</t>
    <phoneticPr fontId="2" type="noConversion"/>
  </si>
  <si>
    <t xml:space="preserve"> ­ 계약의 성립은 결제 후이며, 결제 확인 후 발주 진행됩니다.
 ­ 주문 제작 제품의 경우 제작 기간 평균 7-10일 소요됩니다.
 ­ 설치 기사님 직접 방문 또는 조립+설치 요청으로 인한 납품 시 
   반품, 교환을 원하시면 당일 기사님 철수 전에 말씀해 주셔야 합니다.
 ­ 포장 개봉, 박스 분실, 제품 조립 시 반품 및 교환은 불가능합니다.
   [조립 설치 포함 배송시]
 ­ 현장 엘리베이터에 제품 상차 가능 여부는 직접 확인해주셔야 합니다.
 ­ 당일 현장에서 엘리베이터 상차 불가시 직접 사다리차 섭외 또는 
   직접 운반해주셔야 합니다.</t>
    <phoneticPr fontId="2" type="noConversion"/>
  </si>
  <si>
    <t>미정</t>
    <phoneticPr fontId="21" type="noConversion"/>
  </si>
  <si>
    <r>
      <rPr>
        <b/>
        <sz val="10"/>
        <color indexed="10"/>
        <rFont val="맑은 고딕"/>
        <family val="3"/>
        <charset val="129"/>
      </rPr>
      <t>운반 설치비</t>
    </r>
    <r>
      <rPr>
        <b/>
        <sz val="10"/>
        <rFont val="맑은 고딕"/>
        <family val="3"/>
        <charset val="129"/>
      </rPr>
      <t xml:space="preserve">
엘리베이터 사용 기준 / 계단치기 불가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</si>
</sst>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&quot;년&quot;\ m&quot;월&quot;\ d&quot;일&quot;;@"/>
    <numFmt numFmtId="177" formatCode="[$-F800]dddd\,\ mmmm\ dd\,\ yyyy"/>
    <numFmt numFmtId="178" formatCode="[DBNum4]&quot;金&quot;[$-412]General&quot;원整&quot;"/>
    <numFmt numFmtId="179" formatCode="&quot;(￦&quot;#,##0&quot;)&quot;"/>
    <numFmt numFmtId="180" formatCode="General\ &quot;EA&quot;"/>
    <numFmt numFmtId="181" formatCode="&quot;₩&quot;#,##0"/>
    <numFmt numFmtId="182" formatCode="#,##0_ "/>
  </numFmts>
  <fonts count="31">
    <font>
      <sz val="11"/>
      <color theme="1"/>
      <name val="맑은 고딕"/>
      <family val="3"/>
      <charset val="129"/>
      <scheme val="minor"/>
    </font>
    <font>
      <sz val="10"/>
      <color indexed="8"/>
      <name val="바탕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0"/>
      <color indexed="12"/>
      <name val="맑은 고딕"/>
      <family val="3"/>
      <charset val="129"/>
    </font>
    <font>
      <sz val="10"/>
      <color indexed="8"/>
      <name val="나눔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나눔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26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F4F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E5E5"/>
        <bgColor indexed="64"/>
      </patternFill>
    </fill>
  </fills>
  <borders count="7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1" tint="0.14999847407452621"/>
      </right>
      <top/>
      <bottom/>
      <diagonal/>
    </border>
    <border>
      <left/>
      <right style="thin">
        <color theme="1" tint="0.1499984740745262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theme="1" tint="0.14990691854609822"/>
      </left>
      <right/>
      <top style="hair">
        <color theme="1" tint="0.14993743705557422"/>
      </top>
      <bottom style="hair">
        <color theme="1" tint="0.14993743705557422"/>
      </bottom>
      <diagonal/>
    </border>
    <border>
      <left/>
      <right/>
      <top style="hair">
        <color theme="1" tint="0.14993743705557422"/>
      </top>
      <bottom style="hair">
        <color theme="1" tint="0.14993743705557422"/>
      </bottom>
      <diagonal/>
    </border>
    <border>
      <left/>
      <right style="thin">
        <color theme="1" tint="0.14990691854609822"/>
      </right>
      <top style="hair">
        <color theme="1" tint="0.14993743705557422"/>
      </top>
      <bottom style="hair">
        <color theme="1" tint="0.149937437055574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theme="1" tint="0.14999847407452621"/>
      </top>
      <bottom style="hair">
        <color theme="1" tint="0.14999847407452621"/>
      </bottom>
      <diagonal/>
    </border>
    <border>
      <left/>
      <right style="thin">
        <color theme="1" tint="0.14990691854609822"/>
      </right>
      <top style="hair">
        <color theme="1" tint="0.14999847407452621"/>
      </top>
      <bottom style="hair">
        <color theme="1" tint="0.14999847407452621"/>
      </bottom>
      <diagonal/>
    </border>
    <border>
      <left style="thin">
        <color theme="1" tint="0.14996795556505021"/>
      </left>
      <right/>
      <top style="hair">
        <color theme="1" tint="0.14996795556505021"/>
      </top>
      <bottom style="hair">
        <color theme="1" tint="0.14996795556505021"/>
      </bottom>
      <diagonal/>
    </border>
    <border>
      <left/>
      <right/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9847407452621"/>
      </top>
      <bottom style="hair">
        <color theme="1" tint="0.14999847407452621"/>
      </bottom>
      <diagonal/>
    </border>
    <border>
      <left style="hair">
        <color indexed="64"/>
      </left>
      <right/>
      <top style="thin">
        <color theme="1" tint="0.14999847407452621"/>
      </top>
      <bottom style="hair">
        <color indexed="64"/>
      </bottom>
      <diagonal/>
    </border>
    <border>
      <left/>
      <right/>
      <top style="thin">
        <color theme="1" tint="0.14999847407452621"/>
      </top>
      <bottom style="hair">
        <color indexed="64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hair">
        <color indexed="64"/>
      </bottom>
      <diagonal/>
    </border>
    <border>
      <left/>
      <right style="hair">
        <color indexed="64"/>
      </right>
      <top style="thin">
        <color theme="1" tint="0.14999847407452621"/>
      </top>
      <bottom style="hair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theme="1" tint="0.14999847407452621"/>
      </top>
      <bottom/>
      <diagonal/>
    </border>
    <border>
      <left style="thin">
        <color theme="1" tint="0.14996795556505021"/>
      </left>
      <right style="hair">
        <color indexed="64"/>
      </right>
      <top/>
      <bottom/>
      <diagonal/>
    </border>
    <border>
      <left style="thin">
        <color theme="1" tint="0.14996795556505021"/>
      </left>
      <right style="hair">
        <color indexed="64"/>
      </right>
      <top/>
      <bottom style="thin">
        <color theme="1" tint="0.14999847407452621"/>
      </bottom>
      <diagonal/>
    </border>
    <border>
      <left/>
      <right style="thin">
        <color theme="1" tint="0.14996795556505021"/>
      </right>
      <top/>
      <bottom/>
      <diagonal/>
    </border>
    <border>
      <left style="thin">
        <color theme="1" tint="0.14996795556505021"/>
      </left>
      <right/>
      <top style="thin">
        <color theme="1" tint="0.14996795556505021"/>
      </top>
      <bottom style="hair">
        <color theme="1" tint="0.14996795556505021"/>
      </bottom>
      <diagonal/>
    </border>
    <border>
      <left/>
      <right/>
      <top style="thin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thin">
        <color indexed="64"/>
      </left>
      <right/>
      <top style="thin">
        <color indexed="64"/>
      </top>
      <bottom style="hair">
        <color theme="1" tint="0.14999847407452621"/>
      </bottom>
      <diagonal/>
    </border>
    <border>
      <left/>
      <right style="thin">
        <color theme="1" tint="0.14996795556505021"/>
      </right>
      <top style="thin">
        <color indexed="64"/>
      </top>
      <bottom style="hair">
        <color theme="1" tint="0.14999847407452621"/>
      </bottom>
      <diagonal/>
    </border>
    <border>
      <left style="hair">
        <color indexed="64"/>
      </left>
      <right/>
      <top style="hair">
        <color indexed="64"/>
      </top>
      <bottom style="thin">
        <color theme="1" tint="0.14999847407452621"/>
      </bottom>
      <diagonal/>
    </border>
    <border>
      <left/>
      <right/>
      <top style="hair">
        <color indexed="64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hair">
        <color indexed="64"/>
      </top>
      <bottom style="thin">
        <color theme="1" tint="0.14999847407452621"/>
      </bottom>
      <diagonal/>
    </border>
    <border>
      <left/>
      <right style="hair">
        <color indexed="64"/>
      </right>
      <top style="hair">
        <color indexed="64"/>
      </top>
      <bottom style="thin">
        <color theme="1" tint="0.14999847407452621"/>
      </bottom>
      <diagonal/>
    </border>
    <border>
      <left style="thin">
        <color theme="1" tint="0.14996795556505021"/>
      </left>
      <right/>
      <top style="hair">
        <color theme="1" tint="0.14993743705557422"/>
      </top>
      <bottom style="thin">
        <color theme="1" tint="0.14996795556505021"/>
      </bottom>
      <diagonal/>
    </border>
    <border>
      <left/>
      <right/>
      <top style="hair">
        <color theme="1" tint="0.14993743705557422"/>
      </top>
      <bottom style="thin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3743705557422"/>
      </top>
      <bottom style="thin">
        <color theme="1" tint="0.14996795556505021"/>
      </bottom>
      <diagonal/>
    </border>
    <border>
      <left style="thin">
        <color indexed="64"/>
      </left>
      <right/>
      <top style="hair">
        <color theme="1" tint="0.14999847407452621"/>
      </top>
      <bottom style="thin">
        <color indexed="64"/>
      </bottom>
      <diagonal/>
    </border>
    <border>
      <left/>
      <right style="thin">
        <color theme="1" tint="0.14996795556505021"/>
      </right>
      <top style="hair">
        <color theme="1" tint="0.14999847407452621"/>
      </top>
      <bottom style="thin">
        <color indexed="64"/>
      </bottom>
      <diagonal/>
    </border>
    <border>
      <left style="thin">
        <color theme="1" tint="0.14996795556505021"/>
      </left>
      <right/>
      <top style="hair">
        <color theme="1" tint="0.14996795556505021"/>
      </top>
      <bottom style="hair">
        <color theme="1" tint="0.14993743705557422"/>
      </bottom>
      <diagonal/>
    </border>
    <border>
      <left/>
      <right/>
      <top style="hair">
        <color theme="1" tint="0.14996795556505021"/>
      </top>
      <bottom style="hair">
        <color theme="1" tint="0.14993743705557422"/>
      </bottom>
      <diagonal/>
    </border>
    <border>
      <left/>
      <right style="thin">
        <color theme="1" tint="0.14996795556505021"/>
      </right>
      <top style="hair">
        <color theme="1" tint="0.14996795556505021"/>
      </top>
      <bottom style="hair">
        <color theme="1" tint="0.14993743705557422"/>
      </bottom>
      <diagonal/>
    </border>
    <border>
      <left style="thin">
        <color indexed="64"/>
      </left>
      <right/>
      <top style="thin">
        <color theme="1" tint="0.14999847407452621"/>
      </top>
      <bottom style="thin">
        <color indexed="64"/>
      </bottom>
      <diagonal/>
    </border>
    <border>
      <left/>
      <right/>
      <top style="thin">
        <color theme="1" tint="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1499984740745262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4" borderId="24" applyNumberFormat="0" applyFont="0" applyAlignment="0" applyProtection="0">
      <alignment vertical="center"/>
    </xf>
  </cellStyleXfs>
  <cellXfs count="147">
    <xf numFmtId="0" fontId="0" fillId="0" borderId="0" xfId="0">
      <alignment vertical="center"/>
    </xf>
    <xf numFmtId="0" fontId="1" fillId="0" borderId="0" xfId="2" applyFont="1">
      <alignment vertical="center"/>
    </xf>
    <xf numFmtId="0" fontId="1" fillId="0" borderId="1" xfId="2" applyFont="1" applyBorder="1">
      <alignment vertical="center"/>
    </xf>
    <xf numFmtId="0" fontId="5" fillId="0" borderId="0" xfId="2" applyFont="1">
      <alignment vertical="center"/>
    </xf>
    <xf numFmtId="0" fontId="11" fillId="0" borderId="0" xfId="2" applyFont="1">
      <alignment vertical="center"/>
    </xf>
    <xf numFmtId="180" fontId="12" fillId="0" borderId="2" xfId="1" applyNumberFormat="1" applyFont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180" fontId="12" fillId="2" borderId="3" xfId="1" applyNumberFormat="1" applyFont="1" applyFill="1" applyBorder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0" borderId="4" xfId="2" applyNumberFormat="1" applyFont="1" applyBorder="1" applyAlignment="1">
      <alignment vertical="center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182" fontId="19" fillId="0" borderId="0" xfId="0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6" xfId="2" applyFont="1" applyBorder="1">
      <alignment vertical="center"/>
    </xf>
    <xf numFmtId="41" fontId="20" fillId="5" borderId="3" xfId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18" fillId="0" borderId="0" xfId="2" applyFont="1" applyAlignment="1">
      <alignment vertical="center" wrapText="1"/>
    </xf>
    <xf numFmtId="0" fontId="19" fillId="0" borderId="2" xfId="2" applyFont="1" applyBorder="1" applyAlignment="1">
      <alignment horizontal="center" vertical="center" wrapText="1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left" vertical="center"/>
    </xf>
    <xf numFmtId="0" fontId="10" fillId="0" borderId="28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/>
    </xf>
    <xf numFmtId="0" fontId="29" fillId="5" borderId="2" xfId="2" applyFont="1" applyFill="1" applyBorder="1" applyAlignment="1">
      <alignment horizontal="center" vertical="center"/>
    </xf>
    <xf numFmtId="41" fontId="20" fillId="5" borderId="2" xfId="1" applyFont="1" applyFill="1" applyBorder="1" applyAlignment="1">
      <alignment horizontal="center" vertical="center"/>
    </xf>
    <xf numFmtId="0" fontId="28" fillId="0" borderId="27" xfId="2" applyFont="1" applyBorder="1" applyAlignment="1">
      <alignment horizontal="center" vertical="center" wrapText="1"/>
    </xf>
    <xf numFmtId="0" fontId="28" fillId="0" borderId="27" xfId="2" applyFont="1" applyBorder="1" applyAlignment="1">
      <alignment horizontal="center" vertical="center"/>
    </xf>
    <xf numFmtId="0" fontId="28" fillId="0" borderId="28" xfId="2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/>
    </xf>
    <xf numFmtId="0" fontId="16" fillId="2" borderId="32" xfId="2" applyFont="1" applyFill="1" applyBorder="1" applyAlignment="1">
      <alignment horizontal="center" vertical="center" wrapText="1"/>
    </xf>
    <xf numFmtId="0" fontId="16" fillId="2" borderId="33" xfId="2" applyFont="1" applyFill="1" applyBorder="1" applyAlignment="1">
      <alignment horizontal="center" vertical="center" wrapText="1"/>
    </xf>
    <xf numFmtId="0" fontId="16" fillId="2" borderId="34" xfId="2" applyFont="1" applyFill="1" applyBorder="1" applyAlignment="1">
      <alignment horizontal="center" vertical="center" wrapText="1"/>
    </xf>
    <xf numFmtId="41" fontId="13" fillId="0" borderId="3" xfId="1" applyFont="1" applyBorder="1" applyAlignment="1">
      <alignment horizontal="center" vertical="center"/>
    </xf>
    <xf numFmtId="41" fontId="7" fillId="0" borderId="0" xfId="2" applyNumberFormat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181" fontId="30" fillId="0" borderId="2" xfId="1" applyNumberFormat="1" applyFont="1" applyBorder="1" applyAlignment="1">
      <alignment vertical="center"/>
    </xf>
    <xf numFmtId="0" fontId="29" fillId="3" borderId="7" xfId="2" applyFont="1" applyFill="1" applyBorder="1" applyAlignment="1">
      <alignment horizontal="center" vertical="center" wrapText="1"/>
    </xf>
    <xf numFmtId="0" fontId="29" fillId="3" borderId="9" xfId="2" applyFont="1" applyFill="1" applyBorder="1" applyAlignment="1">
      <alignment horizontal="center" vertical="center" wrapText="1"/>
    </xf>
    <xf numFmtId="0" fontId="29" fillId="3" borderId="8" xfId="2" applyFont="1" applyFill="1" applyBorder="1" applyAlignment="1">
      <alignment horizontal="center" vertical="center" wrapText="1"/>
    </xf>
    <xf numFmtId="181" fontId="20" fillId="0" borderId="2" xfId="1" applyNumberFormat="1" applyFont="1" applyFill="1" applyBorder="1" applyAlignment="1">
      <alignment horizontal="right" vertical="center"/>
    </xf>
    <xf numFmtId="0" fontId="29" fillId="3" borderId="20" xfId="2" applyFont="1" applyFill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 wrapText="1"/>
    </xf>
    <xf numFmtId="0" fontId="29" fillId="3" borderId="22" xfId="2" applyFont="1" applyFill="1" applyBorder="1" applyAlignment="1">
      <alignment horizontal="center" vertical="center" wrapText="1"/>
    </xf>
    <xf numFmtId="0" fontId="29" fillId="3" borderId="6" xfId="2" applyFont="1" applyFill="1" applyBorder="1" applyAlignment="1">
      <alignment horizontal="center" vertical="center" wrapText="1"/>
    </xf>
    <xf numFmtId="0" fontId="29" fillId="3" borderId="5" xfId="2" applyFont="1" applyFill="1" applyBorder="1" applyAlignment="1">
      <alignment horizontal="center" vertical="center" wrapText="1"/>
    </xf>
    <xf numFmtId="0" fontId="29" fillId="3" borderId="23" xfId="2" applyFont="1" applyFill="1" applyBorder="1" applyAlignment="1">
      <alignment horizontal="center" vertical="center" wrapText="1"/>
    </xf>
    <xf numFmtId="181" fontId="17" fillId="7" borderId="35" xfId="4" applyNumberFormat="1" applyFont="1" applyFill="1" applyBorder="1" applyAlignment="1">
      <alignment vertical="center"/>
    </xf>
    <xf numFmtId="181" fontId="17" fillId="7" borderId="37" xfId="4" applyNumberFormat="1" applyFont="1" applyFill="1" applyBorder="1" applyAlignment="1">
      <alignment vertical="center"/>
    </xf>
    <xf numFmtId="181" fontId="17" fillId="7" borderId="36" xfId="4" applyNumberFormat="1" applyFont="1" applyFill="1" applyBorder="1" applyAlignment="1">
      <alignment vertical="center"/>
    </xf>
    <xf numFmtId="181" fontId="17" fillId="7" borderId="38" xfId="4" applyNumberFormat="1" applyFont="1" applyFill="1" applyBorder="1" applyAlignment="1">
      <alignment vertical="center"/>
    </xf>
    <xf numFmtId="0" fontId="15" fillId="3" borderId="17" xfId="2" applyFont="1" applyFill="1" applyBorder="1" applyAlignment="1">
      <alignment horizontal="center" vertical="center" wrapText="1"/>
    </xf>
    <xf numFmtId="0" fontId="15" fillId="3" borderId="18" xfId="2" applyFont="1" applyFill="1" applyBorder="1" applyAlignment="1">
      <alignment horizontal="center" vertical="center" wrapText="1"/>
    </xf>
    <xf numFmtId="0" fontId="15" fillId="3" borderId="19" xfId="2" applyFont="1" applyFill="1" applyBorder="1" applyAlignment="1">
      <alignment horizontal="center" vertical="center" wrapText="1"/>
    </xf>
    <xf numFmtId="0" fontId="13" fillId="6" borderId="9" xfId="2" applyFont="1" applyFill="1" applyBorder="1" applyAlignment="1">
      <alignment horizontal="center" vertical="center"/>
    </xf>
    <xf numFmtId="0" fontId="13" fillId="6" borderId="8" xfId="2" applyFont="1" applyFill="1" applyBorder="1" applyAlignment="1">
      <alignment horizontal="center" vertical="center"/>
    </xf>
    <xf numFmtId="0" fontId="15" fillId="3" borderId="2" xfId="2" applyFont="1" applyFill="1" applyBorder="1" applyAlignment="1">
      <alignment horizontal="center" vertical="center" wrapText="1"/>
    </xf>
    <xf numFmtId="49" fontId="10" fillId="0" borderId="13" xfId="2" applyNumberFormat="1" applyFont="1" applyBorder="1" applyAlignment="1">
      <alignment horizontal="left" vertical="center" wrapText="1"/>
    </xf>
    <xf numFmtId="49" fontId="10" fillId="0" borderId="14" xfId="2" applyNumberFormat="1" applyFont="1" applyBorder="1" applyAlignment="1">
      <alignment horizontal="left" vertical="center" wrapText="1"/>
    </xf>
    <xf numFmtId="49" fontId="10" fillId="0" borderId="11" xfId="2" applyNumberFormat="1" applyFont="1" applyBorder="1" applyAlignment="1">
      <alignment horizontal="left" vertical="center" wrapText="1"/>
    </xf>
    <xf numFmtId="49" fontId="10" fillId="0" borderId="16" xfId="2" applyNumberFormat="1" applyFont="1" applyBorder="1" applyAlignment="1">
      <alignment horizontal="left" vertical="center" wrapText="1"/>
    </xf>
    <xf numFmtId="49" fontId="10" fillId="0" borderId="15" xfId="2" applyNumberFormat="1" applyFont="1" applyBorder="1" applyAlignment="1">
      <alignment horizontal="left" vertical="center"/>
    </xf>
    <xf numFmtId="181" fontId="30" fillId="0" borderId="12" xfId="1" applyNumberFormat="1" applyFont="1" applyBorder="1" applyAlignment="1">
      <alignment vertical="center"/>
    </xf>
    <xf numFmtId="0" fontId="15" fillId="3" borderId="12" xfId="2" applyFont="1" applyFill="1" applyBorder="1" applyAlignment="1">
      <alignment horizontal="center" vertical="center" wrapText="1"/>
    </xf>
    <xf numFmtId="49" fontId="26" fillId="0" borderId="10" xfId="2" applyNumberFormat="1" applyFont="1" applyBorder="1" applyAlignment="1">
      <alignment horizontal="left" vertical="center" wrapText="1"/>
    </xf>
    <xf numFmtId="49" fontId="9" fillId="0" borderId="10" xfId="2" applyNumberFormat="1" applyFont="1" applyBorder="1" applyAlignment="1">
      <alignment horizontal="left" vertical="center" wrapText="1"/>
    </xf>
    <xf numFmtId="49" fontId="9" fillId="0" borderId="2" xfId="2" applyNumberFormat="1" applyFont="1" applyBorder="1" applyAlignment="1">
      <alignment horizontal="left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41" fontId="13" fillId="0" borderId="7" xfId="1" applyFont="1" applyBorder="1" applyAlignment="1">
      <alignment horizontal="center" vertical="center"/>
    </xf>
    <xf numFmtId="41" fontId="13" fillId="0" borderId="9" xfId="1" applyFont="1" applyBorder="1" applyAlignment="1">
      <alignment horizontal="center" vertical="center"/>
    </xf>
    <xf numFmtId="41" fontId="13" fillId="0" borderId="8" xfId="1" applyFont="1" applyBorder="1" applyAlignment="1">
      <alignment horizontal="center" vertical="center"/>
    </xf>
    <xf numFmtId="0" fontId="10" fillId="3" borderId="43" xfId="2" applyFont="1" applyFill="1" applyBorder="1" applyAlignment="1">
      <alignment horizontal="center" vertical="center"/>
    </xf>
    <xf numFmtId="0" fontId="10" fillId="3" borderId="44" xfId="2" applyFont="1" applyFill="1" applyBorder="1" applyAlignment="1">
      <alignment horizontal="center" vertical="center"/>
    </xf>
    <xf numFmtId="0" fontId="26" fillId="0" borderId="29" xfId="3" applyFont="1" applyBorder="1" applyAlignment="1" applyProtection="1">
      <alignment horizontal="center" vertical="center"/>
    </xf>
    <xf numFmtId="0" fontId="26" fillId="0" borderId="30" xfId="3" applyFont="1" applyBorder="1" applyAlignment="1" applyProtection="1">
      <alignment horizontal="center" vertical="center"/>
    </xf>
    <xf numFmtId="0" fontId="26" fillId="0" borderId="31" xfId="3" applyFont="1" applyBorder="1" applyAlignment="1" applyProtection="1">
      <alignment horizontal="center" vertical="center"/>
    </xf>
    <xf numFmtId="0" fontId="9" fillId="0" borderId="42" xfId="2" applyFont="1" applyBorder="1" applyAlignment="1">
      <alignment horizontal="center" vertical="center"/>
    </xf>
    <xf numFmtId="177" fontId="9" fillId="0" borderId="45" xfId="2" applyNumberFormat="1" applyFont="1" applyBorder="1" applyAlignment="1">
      <alignment horizontal="center" vertical="center" wrapText="1"/>
    </xf>
    <xf numFmtId="177" fontId="9" fillId="0" borderId="46" xfId="2" applyNumberFormat="1" applyFont="1" applyBorder="1" applyAlignment="1">
      <alignment horizontal="center" vertical="center" wrapText="1"/>
    </xf>
    <xf numFmtId="177" fontId="9" fillId="0" borderId="47" xfId="2" applyNumberFormat="1" applyFont="1" applyBorder="1" applyAlignment="1">
      <alignment horizontal="center" vertical="center" wrapText="1"/>
    </xf>
    <xf numFmtId="0" fontId="9" fillId="3" borderId="43" xfId="2" applyFont="1" applyFill="1" applyBorder="1" applyAlignment="1">
      <alignment horizontal="center" vertical="center"/>
    </xf>
    <xf numFmtId="0" fontId="9" fillId="3" borderId="48" xfId="2" applyFont="1" applyFill="1" applyBorder="1" applyAlignment="1">
      <alignment horizontal="center" vertical="center"/>
    </xf>
    <xf numFmtId="0" fontId="9" fillId="0" borderId="49" xfId="2" applyFont="1" applyBorder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51" xfId="2" applyFont="1" applyBorder="1" applyAlignment="1">
      <alignment horizontal="center" vertical="center"/>
    </xf>
    <xf numFmtId="0" fontId="9" fillId="0" borderId="52" xfId="2" applyFont="1" applyBorder="1" applyAlignment="1">
      <alignment horizontal="center" vertical="center"/>
    </xf>
    <xf numFmtId="0" fontId="9" fillId="3" borderId="53" xfId="2" applyFont="1" applyFill="1" applyBorder="1" applyAlignment="1">
      <alignment horizontal="center" vertical="center" wrapText="1"/>
    </xf>
    <xf numFmtId="0" fontId="9" fillId="3" borderId="54" xfId="2" applyFont="1" applyFill="1" applyBorder="1" applyAlignment="1">
      <alignment horizontal="center" vertical="center" wrapText="1"/>
    </xf>
    <xf numFmtId="0" fontId="9" fillId="3" borderId="55" xfId="2" applyFont="1" applyFill="1" applyBorder="1" applyAlignment="1">
      <alignment horizontal="center" vertical="center" wrapText="1"/>
    </xf>
    <xf numFmtId="0" fontId="9" fillId="0" borderId="56" xfId="2" applyFont="1" applyBorder="1" applyAlignment="1">
      <alignment horizontal="center" vertical="center" wrapText="1"/>
    </xf>
    <xf numFmtId="177" fontId="9" fillId="0" borderId="57" xfId="2" applyNumberFormat="1" applyFont="1" applyBorder="1" applyAlignment="1">
      <alignment horizontal="center" vertical="center"/>
    </xf>
    <xf numFmtId="177" fontId="9" fillId="0" borderId="58" xfId="2" applyNumberFormat="1" applyFont="1" applyBorder="1" applyAlignment="1">
      <alignment horizontal="center" vertical="center"/>
    </xf>
    <xf numFmtId="177" fontId="9" fillId="0" borderId="59" xfId="2" applyNumberFormat="1" applyFont="1" applyBorder="1" applyAlignment="1">
      <alignment horizontal="center" vertical="center"/>
    </xf>
    <xf numFmtId="0" fontId="9" fillId="3" borderId="60" xfId="2" applyFont="1" applyFill="1" applyBorder="1" applyAlignment="1">
      <alignment horizontal="center" vertical="center"/>
    </xf>
    <xf numFmtId="0" fontId="9" fillId="3" borderId="61" xfId="2" applyFont="1" applyFill="1" applyBorder="1" applyAlignment="1">
      <alignment horizontal="center" vertical="center"/>
    </xf>
    <xf numFmtId="176" fontId="27" fillId="0" borderId="20" xfId="2" applyNumberFormat="1" applyFont="1" applyBorder="1" applyAlignment="1">
      <alignment horizontal="center" vertical="center"/>
    </xf>
    <xf numFmtId="176" fontId="27" fillId="0" borderId="21" xfId="2" applyNumberFormat="1" applyFont="1" applyBorder="1" applyAlignment="1">
      <alignment horizontal="center" vertical="center"/>
    </xf>
    <xf numFmtId="176" fontId="27" fillId="0" borderId="22" xfId="2" applyNumberFormat="1" applyFont="1" applyBorder="1" applyAlignment="1">
      <alignment horizontal="center" vertical="center"/>
    </xf>
    <xf numFmtId="176" fontId="27" fillId="0" borderId="4" xfId="2" applyNumberFormat="1" applyFont="1" applyBorder="1" applyAlignment="1">
      <alignment horizontal="center" vertical="center"/>
    </xf>
    <xf numFmtId="176" fontId="27" fillId="0" borderId="0" xfId="2" applyNumberFormat="1" applyFont="1" applyBorder="1" applyAlignment="1">
      <alignment horizontal="center" vertical="center"/>
    </xf>
    <xf numFmtId="176" fontId="27" fillId="0" borderId="1" xfId="2" applyNumberFormat="1" applyFont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/>
    </xf>
    <xf numFmtId="0" fontId="28" fillId="5" borderId="65" xfId="2" applyFont="1" applyFill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9" fillId="0" borderId="66" xfId="2" applyFont="1" applyBorder="1" applyAlignment="1">
      <alignment horizontal="center" vertical="center" wrapText="1"/>
    </xf>
    <xf numFmtId="0" fontId="9" fillId="0" borderId="67" xfId="2" applyFont="1" applyBorder="1" applyAlignment="1">
      <alignment horizontal="center" vertical="center" wrapText="1"/>
    </xf>
    <xf numFmtId="0" fontId="9" fillId="0" borderId="68" xfId="2" applyFont="1" applyBorder="1" applyAlignment="1">
      <alignment horizontal="center" vertical="center" wrapText="1"/>
    </xf>
    <xf numFmtId="0" fontId="10" fillId="3" borderId="69" xfId="2" applyFont="1" applyFill="1" applyBorder="1" applyAlignment="1">
      <alignment horizontal="center" vertical="center"/>
    </xf>
    <xf numFmtId="0" fontId="10" fillId="3" borderId="70" xfId="2" applyFont="1" applyFill="1" applyBorder="1" applyAlignment="1">
      <alignment horizontal="center" vertical="center"/>
    </xf>
    <xf numFmtId="0" fontId="10" fillId="0" borderId="71" xfId="2" applyFont="1" applyBorder="1" applyAlignment="1">
      <alignment horizontal="center" vertical="center" wrapText="1"/>
    </xf>
    <xf numFmtId="0" fontId="10" fillId="0" borderId="72" xfId="2" applyFont="1" applyBorder="1" applyAlignment="1">
      <alignment horizontal="center" vertical="center" wrapText="1"/>
    </xf>
    <xf numFmtId="0" fontId="10" fillId="0" borderId="73" xfId="2" applyFont="1" applyBorder="1" applyAlignment="1">
      <alignment horizontal="center" vertical="center" wrapText="1"/>
    </xf>
    <xf numFmtId="0" fontId="10" fillId="3" borderId="48" xfId="2" applyFont="1" applyFill="1" applyBorder="1" applyAlignment="1">
      <alignment horizontal="center" vertical="center"/>
    </xf>
    <xf numFmtId="0" fontId="9" fillId="0" borderId="45" xfId="2" applyFont="1" applyBorder="1" applyAlignment="1">
      <alignment horizontal="center" vertical="center" wrapText="1"/>
    </xf>
    <xf numFmtId="0" fontId="9" fillId="0" borderId="46" xfId="2" applyFont="1" applyBorder="1" applyAlignment="1">
      <alignment horizontal="center" vertical="center" wrapText="1"/>
    </xf>
    <xf numFmtId="0" fontId="9" fillId="0" borderId="47" xfId="2" applyFont="1" applyBorder="1" applyAlignment="1">
      <alignment horizontal="center" vertical="center" wrapText="1"/>
    </xf>
    <xf numFmtId="179" fontId="24" fillId="0" borderId="74" xfId="2" applyNumberFormat="1" applyFont="1" applyBorder="1" applyAlignment="1">
      <alignment horizontal="center" vertical="center"/>
    </xf>
    <xf numFmtId="179" fontId="24" fillId="0" borderId="75" xfId="2" applyNumberFormat="1" applyFont="1" applyBorder="1" applyAlignment="1">
      <alignment horizontal="center" vertical="center"/>
    </xf>
    <xf numFmtId="179" fontId="24" fillId="0" borderId="76" xfId="2" applyNumberFormat="1" applyFont="1" applyBorder="1" applyAlignment="1">
      <alignment horizontal="center" vertical="center"/>
    </xf>
    <xf numFmtId="178" fontId="23" fillId="0" borderId="6" xfId="2" applyNumberFormat="1" applyFont="1" applyBorder="1" applyAlignment="1">
      <alignment horizontal="center" vertical="center"/>
    </xf>
    <xf numFmtId="178" fontId="23" fillId="0" borderId="5" xfId="2" applyNumberFormat="1" applyFont="1" applyBorder="1" applyAlignment="1">
      <alignment horizontal="center" vertical="center"/>
    </xf>
    <xf numFmtId="178" fontId="23" fillId="0" borderId="23" xfId="2" applyNumberFormat="1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wrapText="1"/>
    </xf>
  </cellXfs>
  <cellStyles count="5">
    <cellStyle name="메모" xfId="4" builtinId="10"/>
    <cellStyle name="쉼표 [0] 2" xfId="1" xr:uid="{00000000-0005-0000-0000-000001000000}"/>
    <cellStyle name="표준" xfId="0" builtinId="0"/>
    <cellStyle name="표준 2" xfId="2" xr:uid="{00000000-0005-0000-0000-000003000000}"/>
    <cellStyle name="하이퍼링크" xfId="3" builtinId="8"/>
  </cellStyles>
  <dxfs count="0"/>
  <tableStyles count="0" defaultTableStyle="TableStyleMedium2" defaultPivotStyle="PivotStyleLight16"/>
  <colors>
    <mruColors>
      <color rgb="FFFFE5E5"/>
      <color rgb="FFFFF4F4"/>
      <color rgb="FFE8E8E8"/>
      <color rgb="FFD3DFED"/>
      <color rgb="FF666699"/>
      <color rgb="FFFFFFCC"/>
      <color rgb="FFFFF0F0"/>
      <color rgb="FFEEF3F8"/>
      <color rgb="FFCCECFF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4</xdr:row>
      <xdr:rowOff>9525</xdr:rowOff>
    </xdr:from>
    <xdr:to>
      <xdr:col>16</xdr:col>
      <xdr:colOff>817245</xdr:colOff>
      <xdr:row>4</xdr:row>
      <xdr:rowOff>268941</xdr:rowOff>
    </xdr:to>
    <xdr:pic>
      <xdr:nvPicPr>
        <xdr:cNvPr id="2" name="그림 4" descr="(주)엠퍼니처 사용인감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gicfn@magicf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27"/>
  <sheetViews>
    <sheetView showGridLines="0" tabSelected="1" zoomScaleNormal="100" workbookViewId="0">
      <selection activeCell="B10" sqref="B10:H12"/>
    </sheetView>
  </sheetViews>
  <sheetFormatPr defaultColWidth="9" defaultRowHeight="20.25" customHeight="1"/>
  <cols>
    <col min="1" max="1" width="0.69921875" style="1" customWidth="1"/>
    <col min="2" max="3" width="10.69921875" style="1" customWidth="1"/>
    <col min="4" max="5" width="9.19921875" style="1" customWidth="1"/>
    <col min="6" max="8" width="6.09765625" style="1" customWidth="1"/>
    <col min="9" max="9" width="1.5" style="1" customWidth="1"/>
    <col min="10" max="10" width="5.3984375" style="1" customWidth="1"/>
    <col min="11" max="11" width="8.5" style="1" customWidth="1"/>
    <col min="12" max="14" width="3.5" style="1" customWidth="1"/>
    <col min="15" max="15" width="10.3984375" style="1" customWidth="1"/>
    <col min="16" max="17" width="11.19921875" style="1" customWidth="1"/>
    <col min="18" max="18" width="18.8984375" style="14" customWidth="1"/>
    <col min="19" max="19" width="9" style="11" bestFit="1" customWidth="1"/>
    <col min="20" max="29" width="9" style="11" customWidth="1"/>
    <col min="30" max="86" width="9" style="1" customWidth="1"/>
    <col min="87" max="87" width="2.69921875" style="1" customWidth="1"/>
    <col min="88" max="88" width="7.8984375" style="1" customWidth="1"/>
    <col min="89" max="89" width="7.5" style="1" customWidth="1"/>
    <col min="90" max="90" width="15.19921875" style="1" customWidth="1"/>
    <col min="91" max="91" width="5.3984375" style="1" customWidth="1"/>
    <col min="92" max="92" width="7.59765625" style="1" customWidth="1"/>
    <col min="93" max="93" width="1.09765625" style="1" customWidth="1"/>
    <col min="94" max="94" width="3" style="1" customWidth="1"/>
    <col min="95" max="95" width="3.69921875" style="1" customWidth="1"/>
    <col min="96" max="96" width="8" style="1" customWidth="1"/>
    <col min="97" max="99" width="3.5" style="1" customWidth="1"/>
    <col min="100" max="100" width="9.3984375" style="1" customWidth="1"/>
    <col min="101" max="101" width="9.69921875" style="1" customWidth="1"/>
    <col min="102" max="226" width="9" style="1" customWidth="1"/>
    <col min="227" max="227" width="2.69921875" style="1" customWidth="1"/>
    <col min="228" max="228" width="7.8984375" style="1" customWidth="1"/>
    <col min="229" max="229" width="7.5" style="1" customWidth="1"/>
    <col min="230" max="230" width="13.09765625" style="1" customWidth="1"/>
    <col min="231" max="231" width="5.3984375" style="1" customWidth="1"/>
    <col min="232" max="232" width="8.5" style="1" customWidth="1"/>
    <col min="233" max="233" width="1.09765625" style="1" customWidth="1"/>
    <col min="234" max="234" width="3" style="1" customWidth="1"/>
    <col min="235" max="235" width="3.69921875" style="1" customWidth="1"/>
    <col min="236" max="236" width="9.19921875" style="1" customWidth="1"/>
    <col min="237" max="16384" width="9" style="1"/>
  </cols>
  <sheetData>
    <row r="1" spans="1:225" ht="3.75" customHeight="1"/>
    <row r="2" spans="1:225" ht="23.25" customHeight="1">
      <c r="B2" s="116" t="s">
        <v>14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5"/>
    </row>
    <row r="3" spans="1:225" ht="23.25" customHeight="1">
      <c r="A3" s="2"/>
      <c r="B3" s="119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1"/>
      <c r="R3" s="15"/>
    </row>
    <row r="4" spans="1:225" ht="25.5" customHeight="1">
      <c r="A4" s="2"/>
      <c r="B4" s="114" t="s">
        <v>15</v>
      </c>
      <c r="C4" s="115"/>
      <c r="D4" s="111"/>
      <c r="E4" s="112"/>
      <c r="F4" s="112"/>
      <c r="G4" s="112"/>
      <c r="H4" s="113"/>
      <c r="I4" s="110"/>
      <c r="J4" s="107" t="s">
        <v>0</v>
      </c>
      <c r="K4" s="103" t="s">
        <v>9</v>
      </c>
      <c r="L4" s="106"/>
      <c r="M4" s="103" t="s">
        <v>12</v>
      </c>
      <c r="N4" s="104"/>
      <c r="O4" s="104"/>
      <c r="P4" s="104"/>
      <c r="Q4" s="105"/>
      <c r="R4" s="15"/>
      <c r="S4" s="19"/>
    </row>
    <row r="5" spans="1:225" ht="25.5" customHeight="1">
      <c r="A5" s="2"/>
      <c r="B5" s="101" t="s">
        <v>3</v>
      </c>
      <c r="C5" s="102"/>
      <c r="D5" s="98" t="s">
        <v>55</v>
      </c>
      <c r="E5" s="99"/>
      <c r="F5" s="99"/>
      <c r="G5" s="99"/>
      <c r="H5" s="100"/>
      <c r="I5" s="110"/>
      <c r="J5" s="108"/>
      <c r="K5" s="39" t="s">
        <v>10</v>
      </c>
      <c r="L5" s="97"/>
      <c r="M5" s="39" t="s">
        <v>16</v>
      </c>
      <c r="N5" s="40"/>
      <c r="O5" s="97"/>
      <c r="P5" s="21" t="s">
        <v>17</v>
      </c>
      <c r="Q5" s="22" t="s">
        <v>8</v>
      </c>
      <c r="R5" s="15"/>
      <c r="S5" s="19"/>
    </row>
    <row r="6" spans="1:225" ht="25.5" customHeight="1">
      <c r="A6" s="2"/>
      <c r="B6" s="92" t="s">
        <v>18</v>
      </c>
      <c r="C6" s="136"/>
      <c r="D6" s="137"/>
      <c r="E6" s="138"/>
      <c r="F6" s="138"/>
      <c r="G6" s="138"/>
      <c r="H6" s="139"/>
      <c r="I6" s="110"/>
      <c r="J6" s="108"/>
      <c r="K6" s="39" t="s">
        <v>1</v>
      </c>
      <c r="L6" s="97"/>
      <c r="M6" s="39" t="s">
        <v>19</v>
      </c>
      <c r="N6" s="40"/>
      <c r="O6" s="40"/>
      <c r="P6" s="40"/>
      <c r="Q6" s="41"/>
      <c r="R6" s="15"/>
      <c r="S6" s="19"/>
    </row>
    <row r="7" spans="1:225" ht="25.5" customHeight="1">
      <c r="A7" s="2"/>
      <c r="B7" s="92" t="s">
        <v>20</v>
      </c>
      <c r="C7" s="136"/>
      <c r="D7" s="133"/>
      <c r="E7" s="134"/>
      <c r="F7" s="134"/>
      <c r="G7" s="134"/>
      <c r="H7" s="135"/>
      <c r="I7" s="110"/>
      <c r="J7" s="108"/>
      <c r="K7" s="39" t="s">
        <v>11</v>
      </c>
      <c r="L7" s="97"/>
      <c r="M7" s="39" t="s">
        <v>21</v>
      </c>
      <c r="N7" s="40"/>
      <c r="O7" s="97"/>
      <c r="P7" s="21" t="s">
        <v>22</v>
      </c>
      <c r="Q7" s="24" t="s">
        <v>23</v>
      </c>
      <c r="R7" s="15"/>
      <c r="S7" s="19"/>
    </row>
    <row r="8" spans="1:225" ht="25.5" customHeight="1">
      <c r="A8" s="2"/>
      <c r="B8" s="92" t="s">
        <v>24</v>
      </c>
      <c r="C8" s="93"/>
      <c r="D8" s="31"/>
      <c r="E8" s="32"/>
      <c r="F8" s="32"/>
      <c r="G8" s="32"/>
      <c r="H8" s="33"/>
      <c r="I8" s="110"/>
      <c r="J8" s="108"/>
      <c r="K8" s="39" t="s">
        <v>25</v>
      </c>
      <c r="L8" s="97"/>
      <c r="M8" s="39" t="s">
        <v>26</v>
      </c>
      <c r="N8" s="40"/>
      <c r="O8" s="97"/>
      <c r="P8" s="21" t="s">
        <v>2</v>
      </c>
      <c r="Q8" s="23" t="s">
        <v>27</v>
      </c>
      <c r="R8" s="15"/>
      <c r="S8" s="19"/>
    </row>
    <row r="9" spans="1:225" ht="42.75" customHeight="1">
      <c r="A9" s="2"/>
      <c r="B9" s="131" t="s">
        <v>28</v>
      </c>
      <c r="C9" s="132"/>
      <c r="D9" s="128"/>
      <c r="E9" s="129"/>
      <c r="F9" s="129"/>
      <c r="G9" s="129"/>
      <c r="H9" s="130"/>
      <c r="I9" s="110"/>
      <c r="J9" s="108"/>
      <c r="K9" s="39" t="s">
        <v>29</v>
      </c>
      <c r="L9" s="97"/>
      <c r="M9" s="28"/>
      <c r="N9" s="29"/>
      <c r="O9" s="29"/>
      <c r="P9" s="29"/>
      <c r="Q9" s="30"/>
      <c r="R9" s="15"/>
      <c r="S9" s="19"/>
    </row>
    <row r="10" spans="1:225" ht="24" customHeight="1">
      <c r="A10" s="2"/>
      <c r="B10" s="34" t="s">
        <v>30</v>
      </c>
      <c r="C10" s="127"/>
      <c r="D10" s="127"/>
      <c r="E10" s="127"/>
      <c r="F10" s="127"/>
      <c r="G10" s="127"/>
      <c r="H10" s="35"/>
      <c r="I10" s="110"/>
      <c r="J10" s="108"/>
      <c r="K10" s="39" t="s">
        <v>31</v>
      </c>
      <c r="L10" s="97"/>
      <c r="M10" s="94" t="s">
        <v>32</v>
      </c>
      <c r="N10" s="95"/>
      <c r="O10" s="95"/>
      <c r="P10" s="95"/>
      <c r="Q10" s="96"/>
      <c r="R10" s="15"/>
      <c r="S10" s="19"/>
    </row>
    <row r="11" spans="1:225" ht="24" customHeight="1">
      <c r="B11" s="34"/>
      <c r="C11" s="127"/>
      <c r="D11" s="127"/>
      <c r="E11" s="127"/>
      <c r="F11" s="127"/>
      <c r="G11" s="127"/>
      <c r="H11" s="35"/>
      <c r="I11" s="110"/>
      <c r="J11" s="108"/>
      <c r="K11" s="39" t="s">
        <v>33</v>
      </c>
      <c r="L11" s="97"/>
      <c r="M11" s="39" t="s">
        <v>51</v>
      </c>
      <c r="N11" s="40"/>
      <c r="O11" s="40"/>
      <c r="P11" s="40"/>
      <c r="Q11" s="41"/>
      <c r="R11" s="15"/>
      <c r="S11" s="19"/>
    </row>
    <row r="12" spans="1:225" ht="24" customHeight="1">
      <c r="B12" s="36"/>
      <c r="C12" s="37"/>
      <c r="D12" s="37"/>
      <c r="E12" s="37"/>
      <c r="F12" s="37"/>
      <c r="G12" s="37"/>
      <c r="H12" s="38"/>
      <c r="I12" s="110"/>
      <c r="J12" s="109"/>
      <c r="K12" s="125" t="s">
        <v>34</v>
      </c>
      <c r="L12" s="126"/>
      <c r="M12" s="122" t="s">
        <v>52</v>
      </c>
      <c r="N12" s="123"/>
      <c r="O12" s="123"/>
      <c r="P12" s="123"/>
      <c r="Q12" s="124"/>
      <c r="R12" s="15"/>
      <c r="S12" s="19"/>
    </row>
    <row r="13" spans="1:225" s="3" customFormat="1" ht="36.75" customHeight="1">
      <c r="B13" s="84" t="s">
        <v>35</v>
      </c>
      <c r="C13" s="146"/>
      <c r="D13" s="85"/>
      <c r="E13" s="143">
        <f>P20</f>
        <v>0</v>
      </c>
      <c r="F13" s="144"/>
      <c r="G13" s="144"/>
      <c r="H13" s="144"/>
      <c r="I13" s="144"/>
      <c r="J13" s="144"/>
      <c r="K13" s="145"/>
      <c r="L13" s="140">
        <f>P20</f>
        <v>0</v>
      </c>
      <c r="M13" s="141"/>
      <c r="N13" s="141"/>
      <c r="O13" s="141"/>
      <c r="P13" s="141"/>
      <c r="Q13" s="142"/>
      <c r="R13" s="16"/>
      <c r="S13" s="19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25" s="4" customFormat="1" ht="27" customHeight="1">
      <c r="B14" s="42" t="s">
        <v>36</v>
      </c>
      <c r="C14" s="42"/>
      <c r="D14" s="69" t="s">
        <v>37</v>
      </c>
      <c r="E14" s="70"/>
      <c r="F14" s="42" t="s">
        <v>38</v>
      </c>
      <c r="G14" s="42"/>
      <c r="H14" s="42"/>
      <c r="I14" s="42"/>
      <c r="J14" s="42"/>
      <c r="K14" s="25" t="s">
        <v>39</v>
      </c>
      <c r="L14" s="42" t="s">
        <v>4</v>
      </c>
      <c r="M14" s="42"/>
      <c r="N14" s="42"/>
      <c r="O14" s="26" t="s">
        <v>40</v>
      </c>
      <c r="P14" s="25" t="s">
        <v>41</v>
      </c>
      <c r="Q14" s="25" t="s">
        <v>42</v>
      </c>
      <c r="R14" s="18" t="s">
        <v>53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25" s="3" customFormat="1" ht="78.75" customHeight="1">
      <c r="B15" s="82"/>
      <c r="C15" s="83"/>
      <c r="D15" s="84"/>
      <c r="E15" s="85"/>
      <c r="F15" s="86"/>
      <c r="G15" s="87"/>
      <c r="H15" s="87"/>
      <c r="I15" s="87"/>
      <c r="J15" s="88"/>
      <c r="K15" s="5"/>
      <c r="L15" s="89"/>
      <c r="M15" s="90"/>
      <c r="N15" s="91"/>
      <c r="O15" s="27">
        <f>(L15-(L15*0%))</f>
        <v>0</v>
      </c>
      <c r="P15" s="6">
        <f t="shared" ref="P15" si="0">SUM(O15*K15)</f>
        <v>0</v>
      </c>
      <c r="Q15" s="6">
        <f t="shared" ref="Q15:Q16" si="1">SUM(P15/10)</f>
        <v>0</v>
      </c>
      <c r="R15" s="7"/>
      <c r="S15" s="13">
        <f t="shared" ref="S15" si="2">+L15*1.1</f>
        <v>0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</row>
    <row r="16" spans="1:225" s="3" customFormat="1" ht="66" customHeight="1" thickBot="1">
      <c r="B16" s="43" t="s">
        <v>56</v>
      </c>
      <c r="C16" s="44"/>
      <c r="D16" s="44"/>
      <c r="E16" s="44"/>
      <c r="F16" s="44"/>
      <c r="G16" s="44"/>
      <c r="H16" s="44"/>
      <c r="I16" s="44"/>
      <c r="J16" s="45"/>
      <c r="K16" s="8">
        <v>1</v>
      </c>
      <c r="L16" s="46"/>
      <c r="M16" s="46"/>
      <c r="N16" s="46"/>
      <c r="O16" s="17"/>
      <c r="P16" s="9">
        <f>SUM(O16*K16)</f>
        <v>0</v>
      </c>
      <c r="Q16" s="9">
        <f t="shared" si="1"/>
        <v>0</v>
      </c>
      <c r="R16" s="20"/>
      <c r="S16" s="13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</row>
    <row r="17" spans="2:29" s="3" customFormat="1" ht="34.5" customHeight="1" thickTop="1">
      <c r="B17" s="78" t="s">
        <v>43</v>
      </c>
      <c r="C17" s="79" t="s">
        <v>54</v>
      </c>
      <c r="D17" s="80"/>
      <c r="E17" s="80"/>
      <c r="F17" s="80"/>
      <c r="G17" s="80"/>
      <c r="H17" s="80"/>
      <c r="I17" s="80"/>
      <c r="J17" s="80"/>
      <c r="K17" s="80"/>
      <c r="L17" s="66" t="s">
        <v>5</v>
      </c>
      <c r="M17" s="67"/>
      <c r="N17" s="67"/>
      <c r="O17" s="68"/>
      <c r="P17" s="77">
        <f>SUM(P14:P16)</f>
        <v>0</v>
      </c>
      <c r="Q17" s="77"/>
      <c r="R17" s="47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2:29" s="3" customFormat="1" ht="34.5" customHeight="1">
      <c r="B18" s="71"/>
      <c r="C18" s="81"/>
      <c r="D18" s="81"/>
      <c r="E18" s="81"/>
      <c r="F18" s="81"/>
      <c r="G18" s="81"/>
      <c r="H18" s="81"/>
      <c r="I18" s="81"/>
      <c r="J18" s="81"/>
      <c r="K18" s="81"/>
      <c r="L18" s="48" t="s">
        <v>44</v>
      </c>
      <c r="M18" s="49"/>
      <c r="N18" s="49"/>
      <c r="O18" s="50"/>
      <c r="P18" s="51">
        <f>SUM(Q14:Q16)</f>
        <v>0</v>
      </c>
      <c r="Q18" s="51"/>
      <c r="R18" s="47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2:29" s="3" customFormat="1" ht="34.5" customHeight="1">
      <c r="B19" s="71"/>
      <c r="C19" s="81"/>
      <c r="D19" s="81"/>
      <c r="E19" s="81"/>
      <c r="F19" s="81"/>
      <c r="G19" s="81"/>
      <c r="H19" s="81"/>
      <c r="I19" s="81"/>
      <c r="J19" s="81"/>
      <c r="K19" s="81"/>
      <c r="L19" s="52" t="s">
        <v>45</v>
      </c>
      <c r="M19" s="53"/>
      <c r="N19" s="53"/>
      <c r="O19" s="54"/>
      <c r="P19" s="55"/>
      <c r="Q19" s="55"/>
      <c r="R19" s="47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2:29" s="3" customFormat="1" ht="20.25" customHeight="1">
      <c r="B20" s="71"/>
      <c r="C20" s="81"/>
      <c r="D20" s="81"/>
      <c r="E20" s="81"/>
      <c r="F20" s="81"/>
      <c r="G20" s="81"/>
      <c r="H20" s="81"/>
      <c r="I20" s="81"/>
      <c r="J20" s="81"/>
      <c r="K20" s="81"/>
      <c r="L20" s="56" t="s">
        <v>13</v>
      </c>
      <c r="M20" s="57"/>
      <c r="N20" s="57"/>
      <c r="O20" s="58"/>
      <c r="P20" s="62">
        <f>SUM(P17:Q19)</f>
        <v>0</v>
      </c>
      <c r="Q20" s="63"/>
      <c r="R20" s="47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2:29" s="3" customFormat="1" ht="20.25" customHeight="1">
      <c r="B21" s="71"/>
      <c r="C21" s="81"/>
      <c r="D21" s="81"/>
      <c r="E21" s="81"/>
      <c r="F21" s="81"/>
      <c r="G21" s="81"/>
      <c r="H21" s="81"/>
      <c r="I21" s="81"/>
      <c r="J21" s="81"/>
      <c r="K21" s="81"/>
      <c r="L21" s="59"/>
      <c r="M21" s="60"/>
      <c r="N21" s="60"/>
      <c r="O21" s="61"/>
      <c r="P21" s="64"/>
      <c r="Q21" s="65"/>
      <c r="R21" s="47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2:29" s="3" customFormat="1" ht="21.75" customHeight="1">
      <c r="B22" s="71" t="s">
        <v>6</v>
      </c>
      <c r="C22" s="72" t="s">
        <v>46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10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2:29" s="3" customFormat="1" ht="21.75" customHeight="1">
      <c r="B23" s="71"/>
      <c r="C23" s="73" t="s">
        <v>7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10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2:29" s="3" customFormat="1" ht="21.75" customHeight="1">
      <c r="B24" s="71"/>
      <c r="C24" s="73" t="s">
        <v>47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2:29" s="3" customFormat="1" ht="21.75" customHeight="1">
      <c r="B25" s="71"/>
      <c r="C25" s="74" t="s">
        <v>48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0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2:29" s="3" customFormat="1" ht="21.75" customHeight="1">
      <c r="B26" s="71"/>
      <c r="C26" s="75" t="s">
        <v>49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10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2:29" ht="21.75" customHeight="1">
      <c r="B27" s="71"/>
      <c r="C27" s="76" t="s">
        <v>50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10"/>
    </row>
  </sheetData>
  <mergeCells count="65">
    <mergeCell ref="C17:K21"/>
    <mergeCell ref="B15:C15"/>
    <mergeCell ref="D15:E15"/>
    <mergeCell ref="F15:J15"/>
    <mergeCell ref="L15:N15"/>
    <mergeCell ref="B22:B27"/>
    <mergeCell ref="C22:Q22"/>
    <mergeCell ref="C23:Q23"/>
    <mergeCell ref="C24:Q24"/>
    <mergeCell ref="C25:Q25"/>
    <mergeCell ref="C26:Q26"/>
    <mergeCell ref="C27:Q27"/>
    <mergeCell ref="L14:N14"/>
    <mergeCell ref="B16:J16"/>
    <mergeCell ref="L16:N16"/>
    <mergeCell ref="R17:R21"/>
    <mergeCell ref="L18:O18"/>
    <mergeCell ref="P18:Q18"/>
    <mergeCell ref="L19:O19"/>
    <mergeCell ref="P19:Q19"/>
    <mergeCell ref="L20:O21"/>
    <mergeCell ref="P20:Q21"/>
    <mergeCell ref="L17:O17"/>
    <mergeCell ref="B14:C14"/>
    <mergeCell ref="D14:E14"/>
    <mergeCell ref="F14:J14"/>
    <mergeCell ref="P17:Q17"/>
    <mergeCell ref="B17:B21"/>
    <mergeCell ref="B13:D13"/>
    <mergeCell ref="E13:K13"/>
    <mergeCell ref="L13:Q13"/>
    <mergeCell ref="K11:L11"/>
    <mergeCell ref="M11:Q11"/>
    <mergeCell ref="B6:C6"/>
    <mergeCell ref="D6:H6"/>
    <mergeCell ref="K6:L6"/>
    <mergeCell ref="M6:Q6"/>
    <mergeCell ref="B7:C7"/>
    <mergeCell ref="D7:H7"/>
    <mergeCell ref="K7:L7"/>
    <mergeCell ref="M7:O7"/>
    <mergeCell ref="K8:L8"/>
    <mergeCell ref="M8:O8"/>
    <mergeCell ref="B9:C9"/>
    <mergeCell ref="D9:H9"/>
    <mergeCell ref="B10:H12"/>
    <mergeCell ref="K10:L10"/>
    <mergeCell ref="K12:L12"/>
    <mergeCell ref="M12:Q12"/>
    <mergeCell ref="B2:Q3"/>
    <mergeCell ref="B4:C4"/>
    <mergeCell ref="D4:H4"/>
    <mergeCell ref="I4:I12"/>
    <mergeCell ref="J4:J12"/>
    <mergeCell ref="K4:L4"/>
    <mergeCell ref="M4:Q4"/>
    <mergeCell ref="B5:C5"/>
    <mergeCell ref="D5:H5"/>
    <mergeCell ref="K5:L5"/>
    <mergeCell ref="M5:O5"/>
    <mergeCell ref="K9:L9"/>
    <mergeCell ref="M9:Q9"/>
    <mergeCell ref="M10:Q10"/>
    <mergeCell ref="B8:C8"/>
    <mergeCell ref="D8:H8"/>
  </mergeCells>
  <phoneticPr fontId="21" type="noConversion"/>
  <hyperlinks>
    <hyperlink ref="M10" r:id="rId1" xr:uid="{00000000-0004-0000-0000-000000000000}"/>
  </hyperlinks>
  <pageMargins left="0.15748031496062992" right="0.15748031496062992" top="0.35433070866141736" bottom="0.23622047244094491" header="0.31496062992125984" footer="0.15748031496062992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매직 견적서</vt:lpstr>
      <vt:lpstr>'매직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주희 이</cp:lastModifiedBy>
  <dcterms:created xsi:type="dcterms:W3CDTF">2021-11-30T04:46:38Z</dcterms:created>
  <dcterms:modified xsi:type="dcterms:W3CDTF">2026-04-13T08:36:10Z</dcterms:modified>
</cp:coreProperties>
</file>